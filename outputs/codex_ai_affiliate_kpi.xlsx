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108953134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072e63c1c348b6"/>
    <x:sheet xmlns:r="http://schemas.openxmlformats.org/officeDocument/2006/relationships" name="Daily Tracker" sheetId="2" r:id="Ref8091a79fbb4c59"/>
    <x:sheet xmlns:r="http://schemas.openxmlformats.org/officeDocument/2006/relationships" name="Assumptions" sheetId="3" r:id="R0d8b1e23b5454863"/>
    <x:sheet xmlns:r="http://schemas.openxmlformats.org/officeDocument/2006/relationships" name="Launch Checklist" sheetId="4" r:id="R361e6c00df91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4c3f01e8a4fd6" /><Relationship Type="http://schemas.openxmlformats.org/officeDocument/2006/relationships/theme" Target="/xl/theme/theme1.xml" Id="Rafa385c5b1cc4fd3" /><Relationship Type="http://schemas.openxmlformats.org/officeDocument/2006/relationships/sharedStrings" Target="/xl/sharedStrings.xml" Id="R7b289c2d77334210" /><Relationship Type="http://schemas.openxmlformats.org/officeDocument/2006/relationships/worksheet" Target="/xl/worksheets/sheet1.xml" Id="R04072e63c1c348b6" /><Relationship Type="http://schemas.openxmlformats.org/officeDocument/2006/relationships/worksheet" Target="/xl/worksheets/sheet2.xml" Id="Ref8091a79fbb4c59" /><Relationship Type="http://schemas.openxmlformats.org/officeDocument/2006/relationships/worksheet" Target="/xl/worksheets/sheet3.xml" Id="R0d8b1e23b5454863" /><Relationship Type="http://schemas.openxmlformats.org/officeDocument/2006/relationships/worksheet" Target="/xl/worksheets/sheet4.xml" Id="R361e6c00df91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.329999923706055" hidden="0" customWidth="1"/>
    <x:col min="4" max="4" width="17.780000686645508" hidden="0" customWidth="1"/>
    <x:col min="5" max="5" width="25.559999465942383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>
      <x:c r="A1" s="1" t="str">
        <x:v>Codex x AI Marketing Affiliate Funnel KPI Dashboard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3">
      <x:c r="A3" t="str">
        <x:v>KPI</x:v>
      </x:c>
      <x:c r="B3" t="str">
        <x:v>Value</x:v>
      </x:c>
      <x:c r="D3" t="str">
        <x:v>Funnel Rate</x:v>
      </x:c>
      <x:c r="E3" t="str">
        <x:v>Formula</x:v>
      </x:c>
      <x:c r="F3" t="str">
        <x:v>Current</x:v>
      </x:c>
      <x:c r="G3" t="str">
        <x:v>Target</x:v>
      </x:c>
      <x:c r="H3" t="str">
        <x:v>Status</x:v>
      </x:c>
    </x:row>
    <x:row r="4">
      <x:c r="A4" t="str">
        <x:v>X Posts</x:v>
      </x:c>
      <x:c r="B4" t="n">
        <x:f>SUM('Daily Tracker'!B2:B91)</x:f>
        <x:v>0</x:v>
      </x:c>
      <x:c r="D4" t="str">
        <x:v>Profile CTR</x:v>
      </x:c>
      <x:c r="E4" t="str">
        <x:v>Profile Clicks / Impressions</x:v>
      </x:c>
      <x:c r="F4" s="2" t="n">
        <x:f>IFERROR(B6/B5,0)</x:f>
        <x:v>0</x:v>
      </x:c>
      <x:c r="G4" s="2" t="n">
        <x:v>0.01</x:v>
      </x:c>
      <x:c r="H4" t="str">
        <x:f>IF(F4&gt;=G4,"OK","Needs work")</x:f>
        <x:v>Needs work</x:v>
      </x:c>
    </x:row>
    <x:row r="5">
      <x:c r="A5" t="str">
        <x:v>Impressions</x:v>
      </x:c>
      <x:c r="B5" t="n">
        <x:f>SUM('Daily Tracker'!C2:C91)</x:f>
        <x:v>0</x:v>
      </x:c>
      <x:c r="D5" t="str">
        <x:v>LINE CVR</x:v>
      </x:c>
      <x:c r="E5" t="str">
        <x:v>LINE Reg / Profile Clicks</x:v>
      </x:c>
      <x:c r="F5" s="2" t="n">
        <x:f>IFERROR(B7/B6,0)</x:f>
        <x:v>0</x:v>
      </x:c>
      <x:c r="G5" s="2" t="n">
        <x:v>0.2</x:v>
      </x:c>
      <x:c r="H5" t="str">
        <x:f>IF(F5&gt;=G5,"OK","Needs work")</x:f>
        <x:v>Needs work</x:v>
      </x:c>
    </x:row>
    <x:row r="6">
      <x:c r="A6" t="str">
        <x:v>Profile Clicks</x:v>
      </x:c>
      <x:c r="B6" t="n">
        <x:f>SUM('Daily Tracker'!D2:D91)</x:f>
        <x:v>0</x:v>
      </x:c>
      <x:c r="D6" t="str">
        <x:v>Codex CVR</x:v>
      </x:c>
      <x:c r="E6" t="str">
        <x:v>Codex Sales / Codex Clicks</x:v>
      </x:c>
      <x:c r="F6" s="2" t="n">
        <x:f>IFERROR(B9/B8,0)</x:f>
        <x:v>0</x:v>
      </x:c>
      <x:c r="G6" s="2" t="n">
        <x:v>0.05</x:v>
      </x:c>
      <x:c r="H6" t="str">
        <x:f>IF(F6&gt;=G6,"OK","Needs work")</x:f>
        <x:v>Needs work</x:v>
      </x:c>
    </x:row>
    <x:row r="7">
      <x:c r="A7" t="str">
        <x:v>LINE Registrations</x:v>
      </x:c>
      <x:c r="B7" t="n">
        <x:f>SUM('Daily Tracker'!E2:E91)</x:f>
        <x:v>0</x:v>
      </x:c>
      <x:c r="D7" t="str">
        <x:v>Meikyo CVR</x:v>
      </x:c>
      <x:c r="E7" t="str">
        <x:v>Meikyo Sales / Meikyo Clicks</x:v>
      </x:c>
      <x:c r="F7" s="2" t="n">
        <x:f>IFERROR(B11/B10,0)</x:f>
        <x:v>0</x:v>
      </x:c>
      <x:c r="G7" s="2" t="n">
        <x:v>0.02</x:v>
      </x:c>
      <x:c r="H7" t="str">
        <x:f>IF(F7&gt;=G7,"OK","Needs work")</x:f>
        <x:v>Needs work</x:v>
      </x:c>
    </x:row>
    <x:row r="8">
      <x:c r="A8" t="str">
        <x:v>Codex Clicks</x:v>
      </x:c>
      <x:c r="B8" t="n">
        <x:f>SUM('Daily Tracker'!F2:F91)</x:f>
        <x:v>0</x:v>
      </x:c>
      <x:c r="D8" t="str">
        <x:v>Revenue Progress</x:v>
      </x:c>
      <x:c r="E8" t="str">
        <x:v>Reward / Target</x:v>
      </x:c>
      <x:c r="F8" s="2" t="n">
        <x:f>IFERROR(B12/Assumptions!$B$4,0)</x:f>
        <x:v>0</x:v>
      </x:c>
      <x:c r="G8" s="2" t="n">
        <x:v>1</x:v>
      </x:c>
      <x:c r="H8" t="str">
        <x:f>IF(F8&gt;=G8,"OK","Needs work")</x:f>
        <x:v>Needs work</x:v>
      </x:c>
    </x:row>
    <x:row r="9">
      <x:c r="A9" t="str">
        <x:v>Codex Sales</x:v>
      </x:c>
      <x:c r="B9" t="n">
        <x:f>SUM('Daily Tracker'!G2:G91)</x:f>
        <x:v>0</x:v>
      </x:c>
    </x:row>
    <x:row r="10">
      <x:c r="A10" t="str">
        <x:v>Meikyo Clicks</x:v>
      </x:c>
      <x:c r="B10" t="n">
        <x:f>SUM('Daily Tracker'!H2:H91)</x:f>
        <x:v>0</x:v>
      </x:c>
    </x:row>
    <x:row r="11">
      <x:c r="A11" t="str">
        <x:v>Meikyo Sales</x:v>
      </x:c>
      <x:c r="B11" t="n">
        <x:f>SUM('Daily Tracker'!I2:I91)</x:f>
        <x:v>0</x:v>
      </x:c>
    </x:row>
    <x:row r="12">
      <x:c r="A12" t="str">
        <x:v>Estimated Reward</x:v>
      </x:c>
      <x:c r="B12" s="3" t="n">
        <x:f>SUM('Daily Tracker'!L2:L91)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28.889999389648438" hidden="0" customWidth="1"/>
  </x:cols>
  <x:sheetData>
    <x:row r="1">
      <x:c r="A1" s="1" t="str">
        <x:v>Date</x:v>
      </x:c>
      <x:c r="B1" s="1" t="str">
        <x:v>X Posts</x:v>
      </x:c>
      <x:c r="C1" s="1" t="str">
        <x:v>Impressions</x:v>
      </x:c>
      <x:c r="D1" s="1" t="str">
        <x:v>Profile Clicks</x:v>
      </x:c>
      <x:c r="E1" s="1" t="str">
        <x:v>LINE Registrations</x:v>
      </x:c>
      <x:c r="F1" s="1" t="str">
        <x:v>Codex Clicks</x:v>
      </x:c>
      <x:c r="G1" s="1" t="str">
        <x:v>Codex Sales</x:v>
      </x:c>
      <x:c r="H1" s="1" t="str">
        <x:v>Meikyo Clicks</x:v>
      </x:c>
      <x:c r="I1" s="1" t="str">
        <x:v>Meikyo Sales</x:v>
      </x:c>
      <x:c r="J1" s="4" t="str">
        <x:v>Codex Reward</x:v>
      </x:c>
      <x:c r="K1" s="4" t="str">
        <x:v>Meikyo Reward</x:v>
      </x:c>
      <x:c r="L1" s="4" t="str">
        <x:v>Total Reward</x:v>
      </x:c>
      <x:c r="M1" s="1" t="str">
        <x:v>Notes</x:v>
      </x:c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n">
        <x:v>46169</x:v>
      </x:c>
      <x:c r="B2" t="str"/>
      <x:c r="C2" t="str"/>
      <x:c r="D2" t="str"/>
      <x:c r="E2" t="str"/>
      <x:c r="F2" t="str"/>
      <x:c r="G2" t="str"/>
      <x:c r="H2" t="str"/>
      <x:c r="I2" t="str"/>
      <x:c r="J2" t="str">
        <x:f>IF(G2="","",G2*Assumptions!$B$2)</x:f>
      </x:c>
      <x:c r="K2" t="str">
        <x:f>IF(I2="","",I2*Assumptions!$B$3)</x:f>
      </x:c>
      <x:c r="L2" t="str">
        <x:f>IF(AND(J2="",K2=""),"",SUM(J2:K2))</x:f>
      </x:c>
      <x:c r="M2" t="str"/>
    </x:row>
    <x:row r="3">
      <x:c r="A3" t="n">
        <x:v>46170</x:v>
      </x:c>
      <x:c r="B3" t="str"/>
      <x:c r="C3" t="str"/>
      <x:c r="D3" t="str"/>
      <x:c r="E3" t="str"/>
      <x:c r="F3" t="str"/>
      <x:c r="G3" t="str"/>
      <x:c r="H3" t="str"/>
      <x:c r="I3" t="str"/>
      <x:c r="J3" t="str">
        <x:f>IF(G3="","",G3*Assumptions!$B$2)</x:f>
      </x:c>
      <x:c r="K3" t="str">
        <x:f>IF(I3="","",I3*Assumptions!$B$3)</x:f>
      </x:c>
      <x:c r="L3" t="str">
        <x:f>IF(AND(J3="",K3=""),"",SUM(J3:K3))</x:f>
      </x:c>
      <x:c r="M3" t="str"/>
    </x:row>
    <x:row r="4">
      <x:c r="A4" t="n">
        <x:v>46171</x:v>
      </x:c>
      <x:c r="B4" t="str"/>
      <x:c r="C4" t="str"/>
      <x:c r="D4" t="str"/>
      <x:c r="E4" t="str"/>
      <x:c r="F4" t="str"/>
      <x:c r="G4" t="str"/>
      <x:c r="H4" t="str"/>
      <x:c r="I4" t="str"/>
      <x:c r="J4" t="str">
        <x:f>IF(G4="","",G4*Assumptions!$B$2)</x:f>
      </x:c>
      <x:c r="K4" t="str">
        <x:f>IF(I4="","",I4*Assumptions!$B$3)</x:f>
      </x:c>
      <x:c r="L4" t="str">
        <x:f>IF(AND(J4="",K4=""),"",SUM(J4:K4))</x:f>
      </x:c>
      <x:c r="M4" t="str"/>
    </x:row>
    <x:row r="5">
      <x:c r="A5" t="n">
        <x:v>46172</x:v>
      </x:c>
      <x:c r="B5" t="str"/>
      <x:c r="C5" t="str"/>
      <x:c r="D5" t="str"/>
      <x:c r="E5" t="str"/>
      <x:c r="F5" t="str"/>
      <x:c r="G5" t="str"/>
      <x:c r="H5" t="str"/>
      <x:c r="I5" t="str"/>
      <x:c r="J5" t="str">
        <x:f>IF(G5="","",G5*Assumptions!$B$2)</x:f>
      </x:c>
      <x:c r="K5" t="str">
        <x:f>IF(I5="","",I5*Assumptions!$B$3)</x:f>
      </x:c>
      <x:c r="L5" t="str">
        <x:f>IF(AND(J5="",K5=""),"",SUM(J5:K5))</x:f>
      </x:c>
      <x:c r="M5" t="str"/>
    </x:row>
    <x:row r="6">
      <x:c r="A6" t="n">
        <x:v>46173</x:v>
      </x:c>
      <x:c r="B6" t="str"/>
      <x:c r="C6" t="str"/>
      <x:c r="D6" t="str"/>
      <x:c r="E6" t="str"/>
      <x:c r="F6" t="str"/>
      <x:c r="G6" t="str"/>
      <x:c r="H6" t="str"/>
      <x:c r="I6" t="str"/>
      <x:c r="J6" t="str">
        <x:f>IF(G6="","",G6*Assumptions!$B$2)</x:f>
      </x:c>
      <x:c r="K6" t="str">
        <x:f>IF(I6="","",I6*Assumptions!$B$3)</x:f>
      </x:c>
      <x:c r="L6" t="str">
        <x:f>IF(AND(J6="",K6=""),"",SUM(J6:K6))</x:f>
      </x:c>
      <x:c r="M6" t="str"/>
    </x:row>
    <x:row r="7">
      <x:c r="A7" t="n">
        <x:v>46174</x:v>
      </x:c>
      <x:c r="B7" t="str"/>
      <x:c r="C7" t="str"/>
      <x:c r="D7" t="str"/>
      <x:c r="E7" t="str"/>
      <x:c r="F7" t="str"/>
      <x:c r="G7" t="str"/>
      <x:c r="H7" t="str"/>
      <x:c r="I7" t="str"/>
      <x:c r="J7" t="str">
        <x:f>IF(G7="","",G7*Assumptions!$B$2)</x:f>
      </x:c>
      <x:c r="K7" t="str">
        <x:f>IF(I7="","",I7*Assumptions!$B$3)</x:f>
      </x:c>
      <x:c r="L7" t="str">
        <x:f>IF(AND(J7="",K7=""),"",SUM(J7:K7))</x:f>
      </x:c>
      <x:c r="M7" t="str"/>
    </x:row>
    <x:row r="8">
      <x:c r="A8" t="n">
        <x:v>46175</x:v>
      </x:c>
      <x:c r="B8" t="str"/>
      <x:c r="C8" t="str"/>
      <x:c r="D8" t="str"/>
      <x:c r="E8" t="str"/>
      <x:c r="F8" t="str"/>
      <x:c r="G8" t="str"/>
      <x:c r="H8" t="str"/>
      <x:c r="I8" t="str"/>
      <x:c r="J8" t="str">
        <x:f>IF(G8="","",G8*Assumptions!$B$2)</x:f>
      </x:c>
      <x:c r="K8" t="str">
        <x:f>IF(I8="","",I8*Assumptions!$B$3)</x:f>
      </x:c>
      <x:c r="L8" t="str">
        <x:f>IF(AND(J8="",K8=""),"",SUM(J8:K8))</x:f>
      </x:c>
      <x:c r="M8" t="str"/>
    </x:row>
    <x:row r="9">
      <x:c r="A9" t="n">
        <x:v>46176</x:v>
      </x:c>
      <x:c r="B9" t="str"/>
      <x:c r="C9" t="str"/>
      <x:c r="D9" t="str"/>
      <x:c r="E9" t="str"/>
      <x:c r="F9" t="str"/>
      <x:c r="G9" t="str"/>
      <x:c r="H9" t="str"/>
      <x:c r="I9" t="str"/>
      <x:c r="J9" t="str">
        <x:f>IF(G9="","",G9*Assumptions!$B$2)</x:f>
      </x:c>
      <x:c r="K9" t="str">
        <x:f>IF(I9="","",I9*Assumptions!$B$3)</x:f>
      </x:c>
      <x:c r="L9" t="str">
        <x:f>IF(AND(J9="",K9=""),"",SUM(J9:K9))</x:f>
      </x:c>
      <x:c r="M9" t="str"/>
    </x:row>
    <x:row r="10">
      <x:c r="A10" t="n">
        <x:v>46177</x:v>
      </x:c>
      <x:c r="B10" t="str"/>
      <x:c r="C10" t="str"/>
      <x:c r="D10" t="str"/>
      <x:c r="E10" t="str"/>
      <x:c r="F10" t="str"/>
      <x:c r="G10" t="str"/>
      <x:c r="H10" t="str"/>
      <x:c r="I10" t="str"/>
      <x:c r="J10" t="str">
        <x:f>IF(G10="","",G10*Assumptions!$B$2)</x:f>
      </x:c>
      <x:c r="K10" t="str">
        <x:f>IF(I10="","",I10*Assumptions!$B$3)</x:f>
      </x:c>
      <x:c r="L10" t="str">
        <x:f>IF(AND(J10="",K10=""),"",SUM(J10:K10))</x:f>
      </x:c>
      <x:c r="M10" t="str"/>
    </x:row>
    <x:row r="11">
      <x:c r="A11" t="n">
        <x:v>46178</x:v>
      </x:c>
      <x:c r="B11" t="str"/>
      <x:c r="C11" t="str"/>
      <x:c r="D11" t="str"/>
      <x:c r="E11" t="str"/>
      <x:c r="F11" t="str"/>
      <x:c r="G11" t="str"/>
      <x:c r="H11" t="str"/>
      <x:c r="I11" t="str"/>
      <x:c r="J11" t="str">
        <x:f>IF(G11="","",G11*Assumptions!$B$2)</x:f>
      </x:c>
      <x:c r="K11" t="str">
        <x:f>IF(I11="","",I11*Assumptions!$B$3)</x:f>
      </x:c>
      <x:c r="L11" t="str">
        <x:f>IF(AND(J11="",K11=""),"",SUM(J11:K11))</x:f>
      </x:c>
      <x:c r="M11" t="str"/>
    </x:row>
    <x:row r="12">
      <x:c r="A12" t="n">
        <x:v>46179</x:v>
      </x:c>
      <x:c r="B12" t="str"/>
      <x:c r="C12" t="str"/>
      <x:c r="D12" t="str"/>
      <x:c r="E12" t="str"/>
      <x:c r="F12" t="str"/>
      <x:c r="G12" t="str"/>
      <x:c r="H12" t="str"/>
      <x:c r="I12" t="str"/>
      <x:c r="J12" t="str">
        <x:f>IF(G12="","",G12*Assumptions!$B$2)</x:f>
      </x:c>
      <x:c r="K12" t="str">
        <x:f>IF(I12="","",I12*Assumptions!$B$3)</x:f>
      </x:c>
      <x:c r="L12" t="str">
        <x:f>IF(AND(J12="",K12=""),"",SUM(J12:K12))</x:f>
      </x:c>
      <x:c r="M12" t="str"/>
    </x:row>
    <x:row r="13">
      <x:c r="A13" t="n">
        <x:v>46180</x:v>
      </x:c>
      <x:c r="B13" t="str"/>
      <x:c r="C13" t="str"/>
      <x:c r="D13" t="str"/>
      <x:c r="E13" t="str"/>
      <x:c r="F13" t="str"/>
      <x:c r="G13" t="str"/>
      <x:c r="H13" t="str"/>
      <x:c r="I13" t="str"/>
      <x:c r="J13" t="str">
        <x:f>IF(G13="","",G13*Assumptions!$B$2)</x:f>
      </x:c>
      <x:c r="K13" t="str">
        <x:f>IF(I13="","",I13*Assumptions!$B$3)</x:f>
      </x:c>
      <x:c r="L13" t="str">
        <x:f>IF(AND(J13="",K13=""),"",SUM(J13:K13))</x:f>
      </x:c>
      <x:c r="M13" t="str"/>
    </x:row>
    <x:row r="14">
      <x:c r="A14" t="n">
        <x:v>46181</x:v>
      </x:c>
      <x:c r="B14" t="str"/>
      <x:c r="C14" t="str"/>
      <x:c r="D14" t="str"/>
      <x:c r="E14" t="str"/>
      <x:c r="F14" t="str"/>
      <x:c r="G14" t="str"/>
      <x:c r="H14" t="str"/>
      <x:c r="I14" t="str"/>
      <x:c r="J14" t="str">
        <x:f>IF(G14="","",G14*Assumptions!$B$2)</x:f>
      </x:c>
      <x:c r="K14" t="str">
        <x:f>IF(I14="","",I14*Assumptions!$B$3)</x:f>
      </x:c>
      <x:c r="L14" t="str">
        <x:f>IF(AND(J14="",K14=""),"",SUM(J14:K14))</x:f>
      </x:c>
      <x:c r="M14" t="str"/>
    </x:row>
    <x:row r="15">
      <x:c r="A15" t="n">
        <x:v>46182</x:v>
      </x:c>
      <x:c r="B15" t="str"/>
      <x:c r="C15" t="str"/>
      <x:c r="D15" t="str"/>
      <x:c r="E15" t="str"/>
      <x:c r="F15" t="str"/>
      <x:c r="G15" t="str"/>
      <x:c r="H15" t="str"/>
      <x:c r="I15" t="str"/>
      <x:c r="J15" t="str">
        <x:f>IF(G15="","",G15*Assumptions!$B$2)</x:f>
      </x:c>
      <x:c r="K15" t="str">
        <x:f>IF(I15="","",I15*Assumptions!$B$3)</x:f>
      </x:c>
      <x:c r="L15" t="str">
        <x:f>IF(AND(J15="",K15=""),"",SUM(J15:K15))</x:f>
      </x:c>
      <x:c r="M15" t="str"/>
    </x:row>
    <x:row r="16">
      <x:c r="A16" t="n">
        <x:v>46183</x:v>
      </x:c>
      <x:c r="B16" t="str"/>
      <x:c r="C16" t="str"/>
      <x:c r="D16" t="str"/>
      <x:c r="E16" t="str"/>
      <x:c r="F16" t="str"/>
      <x:c r="G16" t="str"/>
      <x:c r="H16" t="str"/>
      <x:c r="I16" t="str"/>
      <x:c r="J16" t="str">
        <x:f>IF(G16="","",G16*Assumptions!$B$2)</x:f>
      </x:c>
      <x:c r="K16" t="str">
        <x:f>IF(I16="","",I16*Assumptions!$B$3)</x:f>
      </x:c>
      <x:c r="L16" t="str">
        <x:f>IF(AND(J16="",K16=""),"",SUM(J16:K16))</x:f>
      </x:c>
      <x:c r="M16" t="str"/>
    </x:row>
    <x:row r="17">
      <x:c r="A17" t="n">
        <x:v>46184</x:v>
      </x:c>
      <x:c r="B17" t="str"/>
      <x:c r="C17" t="str"/>
      <x:c r="D17" t="str"/>
      <x:c r="E17" t="str"/>
      <x:c r="F17" t="str"/>
      <x:c r="G17" t="str"/>
      <x:c r="H17" t="str"/>
      <x:c r="I17" t="str"/>
      <x:c r="J17" t="str">
        <x:f>IF(G17="","",G17*Assumptions!$B$2)</x:f>
      </x:c>
      <x:c r="K17" t="str">
        <x:f>IF(I17="","",I17*Assumptions!$B$3)</x:f>
      </x:c>
      <x:c r="L17" t="str">
        <x:f>IF(AND(J17="",K17=""),"",SUM(J17:K17))</x:f>
      </x:c>
      <x:c r="M17" t="str"/>
    </x:row>
    <x:row r="18">
      <x:c r="A18" t="n">
        <x:v>46185</x:v>
      </x:c>
      <x:c r="B18" t="str"/>
      <x:c r="C18" t="str"/>
      <x:c r="D18" t="str"/>
      <x:c r="E18" t="str"/>
      <x:c r="F18" t="str"/>
      <x:c r="G18" t="str"/>
      <x:c r="H18" t="str"/>
      <x:c r="I18" t="str"/>
      <x:c r="J18" t="str">
        <x:f>IF(G18="","",G18*Assumptions!$B$2)</x:f>
      </x:c>
      <x:c r="K18" t="str">
        <x:f>IF(I18="","",I18*Assumptions!$B$3)</x:f>
      </x:c>
      <x:c r="L18" t="str">
        <x:f>IF(AND(J18="",K18=""),"",SUM(J18:K18))</x:f>
      </x:c>
      <x:c r="M18" t="str"/>
    </x:row>
    <x:row r="19">
      <x:c r="A19" t="n">
        <x:v>46186</x:v>
      </x:c>
      <x:c r="B19" t="str"/>
      <x:c r="C19" t="str"/>
      <x:c r="D19" t="str"/>
      <x:c r="E19" t="str"/>
      <x:c r="F19" t="str"/>
      <x:c r="G19" t="str"/>
      <x:c r="H19" t="str"/>
      <x:c r="I19" t="str"/>
      <x:c r="J19" t="str">
        <x:f>IF(G19="","",G19*Assumptions!$B$2)</x:f>
      </x:c>
      <x:c r="K19" t="str">
        <x:f>IF(I19="","",I19*Assumptions!$B$3)</x:f>
      </x:c>
      <x:c r="L19" t="str">
        <x:f>IF(AND(J19="",K19=""),"",SUM(J19:K19))</x:f>
      </x:c>
      <x:c r="M19" t="str"/>
    </x:row>
    <x:row r="20">
      <x:c r="A20" t="n">
        <x:v>46187</x:v>
      </x:c>
      <x:c r="B20" t="str"/>
      <x:c r="C20" t="str"/>
      <x:c r="D20" t="str"/>
      <x:c r="E20" t="str"/>
      <x:c r="F20" t="str"/>
      <x:c r="G20" t="str"/>
      <x:c r="H20" t="str"/>
      <x:c r="I20" t="str"/>
      <x:c r="J20" t="str">
        <x:f>IF(G20="","",G20*Assumptions!$B$2)</x:f>
      </x:c>
      <x:c r="K20" t="str">
        <x:f>IF(I20="","",I20*Assumptions!$B$3)</x:f>
      </x:c>
      <x:c r="L20" t="str">
        <x:f>IF(AND(J20="",K20=""),"",SUM(J20:K20))</x:f>
      </x:c>
      <x:c r="M20" t="str"/>
    </x:row>
    <x:row r="21">
      <x:c r="A21" t="n">
        <x:v>46188</x:v>
      </x:c>
      <x:c r="B21" t="str"/>
      <x:c r="C21" t="str"/>
      <x:c r="D21" t="str"/>
      <x:c r="E21" t="str"/>
      <x:c r="F21" t="str"/>
      <x:c r="G21" t="str"/>
      <x:c r="H21" t="str"/>
      <x:c r="I21" t="str"/>
      <x:c r="J21" t="str">
        <x:f>IF(G21="","",G21*Assumptions!$B$2)</x:f>
      </x:c>
      <x:c r="K21" t="str">
        <x:f>IF(I21="","",I21*Assumptions!$B$3)</x:f>
      </x:c>
      <x:c r="L21" t="str">
        <x:f>IF(AND(J21="",K21=""),"",SUM(J21:K21))</x:f>
      </x:c>
      <x:c r="M21" t="str"/>
    </x:row>
    <x:row r="22">
      <x:c r="A22" t="n">
        <x:v>46189</x:v>
      </x:c>
      <x:c r="B22" t="str"/>
      <x:c r="C22" t="str"/>
      <x:c r="D22" t="str"/>
      <x:c r="E22" t="str"/>
      <x:c r="F22" t="str"/>
      <x:c r="G22" t="str"/>
      <x:c r="H22" t="str"/>
      <x:c r="I22" t="str"/>
      <x:c r="J22" t="str">
        <x:f>IF(G22="","",G22*Assumptions!$B$2)</x:f>
      </x:c>
      <x:c r="K22" t="str">
        <x:f>IF(I22="","",I22*Assumptions!$B$3)</x:f>
      </x:c>
      <x:c r="L22" t="str">
        <x:f>IF(AND(J22="",K22=""),"",SUM(J22:K22))</x:f>
      </x:c>
      <x:c r="M22" t="str"/>
    </x:row>
    <x:row r="23">
      <x:c r="A23" t="n">
        <x:v>46190</x:v>
      </x:c>
      <x:c r="B23" t="str"/>
      <x:c r="C23" t="str"/>
      <x:c r="D23" t="str"/>
      <x:c r="E23" t="str"/>
      <x:c r="F23" t="str"/>
      <x:c r="G23" t="str"/>
      <x:c r="H23" t="str"/>
      <x:c r="I23" t="str"/>
      <x:c r="J23" t="str">
        <x:f>IF(G23="","",G23*Assumptions!$B$2)</x:f>
      </x:c>
      <x:c r="K23" t="str">
        <x:f>IF(I23="","",I23*Assumptions!$B$3)</x:f>
      </x:c>
      <x:c r="L23" t="str">
        <x:f>IF(AND(J23="",K23=""),"",SUM(J23:K23))</x:f>
      </x:c>
      <x:c r="M23" t="str"/>
    </x:row>
    <x:row r="24">
      <x:c r="A24" t="n">
        <x:v>46191</x:v>
      </x:c>
      <x:c r="B24" t="str"/>
      <x:c r="C24" t="str"/>
      <x:c r="D24" t="str"/>
      <x:c r="E24" t="str"/>
      <x:c r="F24" t="str"/>
      <x:c r="G24" t="str"/>
      <x:c r="H24" t="str"/>
      <x:c r="I24" t="str"/>
      <x:c r="J24" t="str">
        <x:f>IF(G24="","",G24*Assumptions!$B$2)</x:f>
      </x:c>
      <x:c r="K24" t="str">
        <x:f>IF(I24="","",I24*Assumptions!$B$3)</x:f>
      </x:c>
      <x:c r="L24" t="str">
        <x:f>IF(AND(J24="",K24=""),"",SUM(J24:K24))</x:f>
      </x:c>
      <x:c r="M24" t="str"/>
    </x:row>
    <x:row r="25">
      <x:c r="A25" t="n">
        <x:v>46192</x:v>
      </x:c>
      <x:c r="B25" t="str"/>
      <x:c r="C25" t="str"/>
      <x:c r="D25" t="str"/>
      <x:c r="E25" t="str"/>
      <x:c r="F25" t="str"/>
      <x:c r="G25" t="str"/>
      <x:c r="H25" t="str"/>
      <x:c r="I25" t="str"/>
      <x:c r="J25" t="str">
        <x:f>IF(G25="","",G25*Assumptions!$B$2)</x:f>
      </x:c>
      <x:c r="K25" t="str">
        <x:f>IF(I25="","",I25*Assumptions!$B$3)</x:f>
      </x:c>
      <x:c r="L25" t="str">
        <x:f>IF(AND(J25="",K25=""),"",SUM(J25:K25))</x:f>
      </x:c>
      <x:c r="M25" t="str"/>
    </x:row>
    <x:row r="26">
      <x:c r="A26" t="n">
        <x:v>46193</x:v>
      </x:c>
      <x:c r="B26" t="str"/>
      <x:c r="C26" t="str"/>
      <x:c r="D26" t="str"/>
      <x:c r="E26" t="str"/>
      <x:c r="F26" t="str"/>
      <x:c r="G26" t="str"/>
      <x:c r="H26" t="str"/>
      <x:c r="I26" t="str"/>
      <x:c r="J26" t="str">
        <x:f>IF(G26="","",G26*Assumptions!$B$2)</x:f>
      </x:c>
      <x:c r="K26" t="str">
        <x:f>IF(I26="","",I26*Assumptions!$B$3)</x:f>
      </x:c>
      <x:c r="L26" t="str">
        <x:f>IF(AND(J26="",K26=""),"",SUM(J26:K26))</x:f>
      </x:c>
      <x:c r="M26" t="str"/>
    </x:row>
    <x:row r="27">
      <x:c r="A27" t="n">
        <x:v>46194</x:v>
      </x:c>
      <x:c r="B27" t="str"/>
      <x:c r="C27" t="str"/>
      <x:c r="D27" t="str"/>
      <x:c r="E27" t="str"/>
      <x:c r="F27" t="str"/>
      <x:c r="G27" t="str"/>
      <x:c r="H27" t="str"/>
      <x:c r="I27" t="str"/>
      <x:c r="J27" t="str">
        <x:f>IF(G27="","",G27*Assumptions!$B$2)</x:f>
      </x:c>
      <x:c r="K27" t="str">
        <x:f>IF(I27="","",I27*Assumptions!$B$3)</x:f>
      </x:c>
      <x:c r="L27" t="str">
        <x:f>IF(AND(J27="",K27=""),"",SUM(J27:K27))</x:f>
      </x:c>
      <x:c r="M27" t="str"/>
    </x:row>
    <x:row r="28">
      <x:c r="A28" t="n">
        <x:v>46195</x:v>
      </x:c>
      <x:c r="B28" t="str"/>
      <x:c r="C28" t="str"/>
      <x:c r="D28" t="str"/>
      <x:c r="E28" t="str"/>
      <x:c r="F28" t="str"/>
      <x:c r="G28" t="str"/>
      <x:c r="H28" t="str"/>
      <x:c r="I28" t="str"/>
      <x:c r="J28" t="str">
        <x:f>IF(G28="","",G28*Assumptions!$B$2)</x:f>
      </x:c>
      <x:c r="K28" t="str">
        <x:f>IF(I28="","",I28*Assumptions!$B$3)</x:f>
      </x:c>
      <x:c r="L28" t="str">
        <x:f>IF(AND(J28="",K28=""),"",SUM(J28:K28))</x:f>
      </x:c>
      <x:c r="M28" t="str"/>
    </x:row>
    <x:row r="29">
      <x:c r="A29" t="n">
        <x:v>46196</x:v>
      </x:c>
      <x:c r="B29" t="str"/>
      <x:c r="C29" t="str"/>
      <x:c r="D29" t="str"/>
      <x:c r="E29" t="str"/>
      <x:c r="F29" t="str"/>
      <x:c r="G29" t="str"/>
      <x:c r="H29" t="str"/>
      <x:c r="I29" t="str"/>
      <x:c r="J29" t="str">
        <x:f>IF(G29="","",G29*Assumptions!$B$2)</x:f>
      </x:c>
      <x:c r="K29" t="str">
        <x:f>IF(I29="","",I29*Assumptions!$B$3)</x:f>
      </x:c>
      <x:c r="L29" t="str">
        <x:f>IF(AND(J29="",K29=""),"",SUM(J29:K29))</x:f>
      </x:c>
      <x:c r="M29" t="str"/>
    </x:row>
    <x:row r="30">
      <x:c r="A30" t="n">
        <x:v>46197</x:v>
      </x:c>
      <x:c r="B30" t="str"/>
      <x:c r="C30" t="str"/>
      <x:c r="D30" t="str"/>
      <x:c r="E30" t="str"/>
      <x:c r="F30" t="str"/>
      <x:c r="G30" t="str"/>
      <x:c r="H30" t="str"/>
      <x:c r="I30" t="str"/>
      <x:c r="J30" t="str">
        <x:f>IF(G30="","",G30*Assumptions!$B$2)</x:f>
      </x:c>
      <x:c r="K30" t="str">
        <x:f>IF(I30="","",I30*Assumptions!$B$3)</x:f>
      </x:c>
      <x:c r="L30" t="str">
        <x:f>IF(AND(J30="",K30=""),"",SUM(J30:K30))</x:f>
      </x:c>
      <x:c r="M30" t="str"/>
    </x:row>
    <x:row r="31">
      <x:c r="A31" t="n">
        <x:v>46198</x:v>
      </x:c>
      <x:c r="B31" t="str"/>
      <x:c r="C31" t="str"/>
      <x:c r="D31" t="str"/>
      <x:c r="E31" t="str"/>
      <x:c r="F31" t="str"/>
      <x:c r="G31" t="str"/>
      <x:c r="H31" t="str"/>
      <x:c r="I31" t="str"/>
      <x:c r="J31" t="str">
        <x:f>IF(G31="","",G31*Assumptions!$B$2)</x:f>
      </x:c>
      <x:c r="K31" t="str">
        <x:f>IF(I31="","",I31*Assumptions!$B$3)</x:f>
      </x:c>
      <x:c r="L31" t="str">
        <x:f>IF(AND(J31="",K31=""),"",SUM(J31:K31))</x:f>
      </x:c>
      <x:c r="M31" t="str"/>
    </x:row>
    <x:row r="32">
      <x:c r="A32" t="n">
        <x:v>46199</x:v>
      </x:c>
      <x:c r="B32" t="str"/>
      <x:c r="C32" t="str"/>
      <x:c r="D32" t="str"/>
      <x:c r="E32" t="str"/>
      <x:c r="F32" t="str"/>
      <x:c r="G32" t="str"/>
      <x:c r="H32" t="str"/>
      <x:c r="I32" t="str"/>
      <x:c r="J32" t="str">
        <x:f>IF(G32="","",G32*Assumptions!$B$2)</x:f>
      </x:c>
      <x:c r="K32" t="str">
        <x:f>IF(I32="","",I32*Assumptions!$B$3)</x:f>
      </x:c>
      <x:c r="L32" t="str">
        <x:f>IF(AND(J32="",K32=""),"",SUM(J32:K32))</x:f>
      </x:c>
      <x:c r="M32" t="str"/>
    </x:row>
    <x:row r="33">
      <x:c r="A33" t="n">
        <x:v>46200</x:v>
      </x:c>
      <x:c r="B33" t="str"/>
      <x:c r="C33" t="str"/>
      <x:c r="D33" t="str"/>
      <x:c r="E33" t="str"/>
      <x:c r="F33" t="str"/>
      <x:c r="G33" t="str"/>
      <x:c r="H33" t="str"/>
      <x:c r="I33" t="str"/>
      <x:c r="J33" t="str">
        <x:f>IF(G33="","",G33*Assumptions!$B$2)</x:f>
      </x:c>
      <x:c r="K33" t="str">
        <x:f>IF(I33="","",I33*Assumptions!$B$3)</x:f>
      </x:c>
      <x:c r="L33" t="str">
        <x:f>IF(AND(J33="",K33=""),"",SUM(J33:K33))</x:f>
      </x:c>
      <x:c r="M33" t="str"/>
    </x:row>
    <x:row r="34">
      <x:c r="A34" t="n">
        <x:v>46201</x:v>
      </x:c>
      <x:c r="B34" t="str"/>
      <x:c r="C34" t="str"/>
      <x:c r="D34" t="str"/>
      <x:c r="E34" t="str"/>
      <x:c r="F34" t="str"/>
      <x:c r="G34" t="str"/>
      <x:c r="H34" t="str"/>
      <x:c r="I34" t="str"/>
      <x:c r="J34" t="str">
        <x:f>IF(G34="","",G34*Assumptions!$B$2)</x:f>
      </x:c>
      <x:c r="K34" t="str">
        <x:f>IF(I34="","",I34*Assumptions!$B$3)</x:f>
      </x:c>
      <x:c r="L34" t="str">
        <x:f>IF(AND(J34="",K34=""),"",SUM(J34:K34))</x:f>
      </x:c>
      <x:c r="M34" t="str"/>
    </x:row>
    <x:row r="35">
      <x:c r="A35" t="n">
        <x:v>46202</x:v>
      </x:c>
      <x:c r="B35" t="str"/>
      <x:c r="C35" t="str"/>
      <x:c r="D35" t="str"/>
      <x:c r="E35" t="str"/>
      <x:c r="F35" t="str"/>
      <x:c r="G35" t="str"/>
      <x:c r="H35" t="str"/>
      <x:c r="I35" t="str"/>
      <x:c r="J35" t="str">
        <x:f>IF(G35="","",G35*Assumptions!$B$2)</x:f>
      </x:c>
      <x:c r="K35" t="str">
        <x:f>IF(I35="","",I35*Assumptions!$B$3)</x:f>
      </x:c>
      <x:c r="L35" t="str">
        <x:f>IF(AND(J35="",K35=""),"",SUM(J35:K35))</x:f>
      </x:c>
      <x:c r="M35" t="str"/>
    </x:row>
    <x:row r="36">
      <x:c r="A36" t="n">
        <x:v>46203</x:v>
      </x:c>
      <x:c r="B36" t="str"/>
      <x:c r="C36" t="str"/>
      <x:c r="D36" t="str"/>
      <x:c r="E36" t="str"/>
      <x:c r="F36" t="str"/>
      <x:c r="G36" t="str"/>
      <x:c r="H36" t="str"/>
      <x:c r="I36" t="str"/>
      <x:c r="J36" t="str">
        <x:f>IF(G36="","",G36*Assumptions!$B$2)</x:f>
      </x:c>
      <x:c r="K36" t="str">
        <x:f>IF(I36="","",I36*Assumptions!$B$3)</x:f>
      </x:c>
      <x:c r="L36" t="str">
        <x:f>IF(AND(J36="",K36=""),"",SUM(J36:K36))</x:f>
      </x:c>
      <x:c r="M36" t="str"/>
    </x:row>
    <x:row r="37">
      <x:c r="A37" t="n">
        <x:v>46204</x:v>
      </x:c>
      <x:c r="B37" t="str"/>
      <x:c r="C37" t="str"/>
      <x:c r="D37" t="str"/>
      <x:c r="E37" t="str"/>
      <x:c r="F37" t="str"/>
      <x:c r="G37" t="str"/>
      <x:c r="H37" t="str"/>
      <x:c r="I37" t="str"/>
      <x:c r="J37" t="str">
        <x:f>IF(G37="","",G37*Assumptions!$B$2)</x:f>
      </x:c>
      <x:c r="K37" t="str">
        <x:f>IF(I37="","",I37*Assumptions!$B$3)</x:f>
      </x:c>
      <x:c r="L37" t="str">
        <x:f>IF(AND(J37="",K37=""),"",SUM(J37:K37))</x:f>
      </x:c>
      <x:c r="M37" t="str"/>
    </x:row>
    <x:row r="38">
      <x:c r="A38" t="n">
        <x:v>46205</x:v>
      </x:c>
      <x:c r="B38" t="str"/>
      <x:c r="C38" t="str"/>
      <x:c r="D38" t="str"/>
      <x:c r="E38" t="str"/>
      <x:c r="F38" t="str"/>
      <x:c r="G38" t="str"/>
      <x:c r="H38" t="str"/>
      <x:c r="I38" t="str"/>
      <x:c r="J38" t="str">
        <x:f>IF(G38="","",G38*Assumptions!$B$2)</x:f>
      </x:c>
      <x:c r="K38" t="str">
        <x:f>IF(I38="","",I38*Assumptions!$B$3)</x:f>
      </x:c>
      <x:c r="L38" t="str">
        <x:f>IF(AND(J38="",K38=""),"",SUM(J38:K38))</x:f>
      </x:c>
      <x:c r="M38" t="str"/>
    </x:row>
    <x:row r="39">
      <x:c r="A39" t="n">
        <x:v>46206</x:v>
      </x:c>
      <x:c r="B39" t="str"/>
      <x:c r="C39" t="str"/>
      <x:c r="D39" t="str"/>
      <x:c r="E39" t="str"/>
      <x:c r="F39" t="str"/>
      <x:c r="G39" t="str"/>
      <x:c r="H39" t="str"/>
      <x:c r="I39" t="str"/>
      <x:c r="J39" t="str">
        <x:f>IF(G39="","",G39*Assumptions!$B$2)</x:f>
      </x:c>
      <x:c r="K39" t="str">
        <x:f>IF(I39="","",I39*Assumptions!$B$3)</x:f>
      </x:c>
      <x:c r="L39" t="str">
        <x:f>IF(AND(J39="",K39=""),"",SUM(J39:K39))</x:f>
      </x:c>
      <x:c r="M39" t="str"/>
    </x:row>
    <x:row r="40">
      <x:c r="A40" t="n">
        <x:v>46207</x:v>
      </x:c>
      <x:c r="B40" t="str"/>
      <x:c r="C40" t="str"/>
      <x:c r="D40" t="str"/>
      <x:c r="E40" t="str"/>
      <x:c r="F40" t="str"/>
      <x:c r="G40" t="str"/>
      <x:c r="H40" t="str"/>
      <x:c r="I40" t="str"/>
      <x:c r="J40" t="str">
        <x:f>IF(G40="","",G40*Assumptions!$B$2)</x:f>
      </x:c>
      <x:c r="K40" t="str">
        <x:f>IF(I40="","",I40*Assumptions!$B$3)</x:f>
      </x:c>
      <x:c r="L40" t="str">
        <x:f>IF(AND(J40="",K40=""),"",SUM(J40:K40))</x:f>
      </x:c>
      <x:c r="M40" t="str"/>
    </x:row>
    <x:row r="41">
      <x:c r="A41" t="n">
        <x:v>46208</x:v>
      </x:c>
      <x:c r="B41" t="str"/>
      <x:c r="C41" t="str"/>
      <x:c r="D41" t="str"/>
      <x:c r="E41" t="str"/>
      <x:c r="F41" t="str"/>
      <x:c r="G41" t="str"/>
      <x:c r="H41" t="str"/>
      <x:c r="I41" t="str"/>
      <x:c r="J41" t="str">
        <x:f>IF(G41="","",G41*Assumptions!$B$2)</x:f>
      </x:c>
      <x:c r="K41" t="str">
        <x:f>IF(I41="","",I41*Assumptions!$B$3)</x:f>
      </x:c>
      <x:c r="L41" t="str">
        <x:f>IF(AND(J41="",K41=""),"",SUM(J41:K41))</x:f>
      </x:c>
      <x:c r="M41" t="str"/>
    </x:row>
    <x:row r="42">
      <x:c r="A42" t="n">
        <x:v>46209</x:v>
      </x:c>
      <x:c r="B42" t="str"/>
      <x:c r="C42" t="str"/>
      <x:c r="D42" t="str"/>
      <x:c r="E42" t="str"/>
      <x:c r="F42" t="str"/>
      <x:c r="G42" t="str"/>
      <x:c r="H42" t="str"/>
      <x:c r="I42" t="str"/>
      <x:c r="J42" t="str">
        <x:f>IF(G42="","",G42*Assumptions!$B$2)</x:f>
      </x:c>
      <x:c r="K42" t="str">
        <x:f>IF(I42="","",I42*Assumptions!$B$3)</x:f>
      </x:c>
      <x:c r="L42" t="str">
        <x:f>IF(AND(J42="",K42=""),"",SUM(J42:K42))</x:f>
      </x:c>
      <x:c r="M42" t="str"/>
    </x:row>
    <x:row r="43">
      <x:c r="A43" t="n">
        <x:v>46210</x:v>
      </x:c>
      <x:c r="B43" t="str"/>
      <x:c r="C43" t="str"/>
      <x:c r="D43" t="str"/>
      <x:c r="E43" t="str"/>
      <x:c r="F43" t="str"/>
      <x:c r="G43" t="str"/>
      <x:c r="H43" t="str"/>
      <x:c r="I43" t="str"/>
      <x:c r="J43" t="str">
        <x:f>IF(G43="","",G43*Assumptions!$B$2)</x:f>
      </x:c>
      <x:c r="K43" t="str">
        <x:f>IF(I43="","",I43*Assumptions!$B$3)</x:f>
      </x:c>
      <x:c r="L43" t="str">
        <x:f>IF(AND(J43="",K43=""),"",SUM(J43:K43))</x:f>
      </x:c>
      <x:c r="M43" t="str"/>
    </x:row>
    <x:row r="44">
      <x:c r="A44" t="n">
        <x:v>46211</x:v>
      </x:c>
      <x:c r="B44" t="str"/>
      <x:c r="C44" t="str"/>
      <x:c r="D44" t="str"/>
      <x:c r="E44" t="str"/>
      <x:c r="F44" t="str"/>
      <x:c r="G44" t="str"/>
      <x:c r="H44" t="str"/>
      <x:c r="I44" t="str"/>
      <x:c r="J44" t="str">
        <x:f>IF(G44="","",G44*Assumptions!$B$2)</x:f>
      </x:c>
      <x:c r="K44" t="str">
        <x:f>IF(I44="","",I44*Assumptions!$B$3)</x:f>
      </x:c>
      <x:c r="L44" t="str">
        <x:f>IF(AND(J44="",K44=""),"",SUM(J44:K44))</x:f>
      </x:c>
      <x:c r="M44" t="str"/>
    </x:row>
    <x:row r="45">
      <x:c r="A45" t="n">
        <x:v>46212</x:v>
      </x:c>
      <x:c r="B45" t="str"/>
      <x:c r="C45" t="str"/>
      <x:c r="D45" t="str"/>
      <x:c r="E45" t="str"/>
      <x:c r="F45" t="str"/>
      <x:c r="G45" t="str"/>
      <x:c r="H45" t="str"/>
      <x:c r="I45" t="str"/>
      <x:c r="J45" t="str">
        <x:f>IF(G45="","",G45*Assumptions!$B$2)</x:f>
      </x:c>
      <x:c r="K45" t="str">
        <x:f>IF(I45="","",I45*Assumptions!$B$3)</x:f>
      </x:c>
      <x:c r="L45" t="str">
        <x:f>IF(AND(J45="",K45=""),"",SUM(J45:K45))</x:f>
      </x:c>
      <x:c r="M45" t="str"/>
    </x:row>
    <x:row r="46">
      <x:c r="A46" t="n">
        <x:v>46213</x:v>
      </x:c>
      <x:c r="B46" t="str"/>
      <x:c r="C46" t="str"/>
      <x:c r="D46" t="str"/>
      <x:c r="E46" t="str"/>
      <x:c r="F46" t="str"/>
      <x:c r="G46" t="str"/>
      <x:c r="H46" t="str"/>
      <x:c r="I46" t="str"/>
      <x:c r="J46" t="str">
        <x:f>IF(G46="","",G46*Assumptions!$B$2)</x:f>
      </x:c>
      <x:c r="K46" t="str">
        <x:f>IF(I46="","",I46*Assumptions!$B$3)</x:f>
      </x:c>
      <x:c r="L46" t="str">
        <x:f>IF(AND(J46="",K46=""),"",SUM(J46:K46))</x:f>
      </x:c>
      <x:c r="M46" t="str"/>
    </x:row>
    <x:row r="47">
      <x:c r="A47" t="n">
        <x:v>46214</x:v>
      </x:c>
      <x:c r="B47" t="str"/>
      <x:c r="C47" t="str"/>
      <x:c r="D47" t="str"/>
      <x:c r="E47" t="str"/>
      <x:c r="F47" t="str"/>
      <x:c r="G47" t="str"/>
      <x:c r="H47" t="str"/>
      <x:c r="I47" t="str"/>
      <x:c r="J47" t="str">
        <x:f>IF(G47="","",G47*Assumptions!$B$2)</x:f>
      </x:c>
      <x:c r="K47" t="str">
        <x:f>IF(I47="","",I47*Assumptions!$B$3)</x:f>
      </x:c>
      <x:c r="L47" t="str">
        <x:f>IF(AND(J47="",K47=""),"",SUM(J47:K47))</x:f>
      </x:c>
      <x:c r="M47" t="str"/>
    </x:row>
    <x:row r="48">
      <x:c r="A48" t="n">
        <x:v>46215</x:v>
      </x:c>
      <x:c r="B48" t="str"/>
      <x:c r="C48" t="str"/>
      <x:c r="D48" t="str"/>
      <x:c r="E48" t="str"/>
      <x:c r="F48" t="str"/>
      <x:c r="G48" t="str"/>
      <x:c r="H48" t="str"/>
      <x:c r="I48" t="str"/>
      <x:c r="J48" t="str">
        <x:f>IF(G48="","",G48*Assumptions!$B$2)</x:f>
      </x:c>
      <x:c r="K48" t="str">
        <x:f>IF(I48="","",I48*Assumptions!$B$3)</x:f>
      </x:c>
      <x:c r="L48" t="str">
        <x:f>IF(AND(J48="",K48=""),"",SUM(J48:K48))</x:f>
      </x:c>
      <x:c r="M48" t="str"/>
    </x:row>
    <x:row r="49">
      <x:c r="A49" t="n">
        <x:v>46216</x:v>
      </x:c>
      <x:c r="B49" t="str"/>
      <x:c r="C49" t="str"/>
      <x:c r="D49" t="str"/>
      <x:c r="E49" t="str"/>
      <x:c r="F49" t="str"/>
      <x:c r="G49" t="str"/>
      <x:c r="H49" t="str"/>
      <x:c r="I49" t="str"/>
      <x:c r="J49" t="str">
        <x:f>IF(G49="","",G49*Assumptions!$B$2)</x:f>
      </x:c>
      <x:c r="K49" t="str">
        <x:f>IF(I49="","",I49*Assumptions!$B$3)</x:f>
      </x:c>
      <x:c r="L49" t="str">
        <x:f>IF(AND(J49="",K49=""),"",SUM(J49:K49))</x:f>
      </x:c>
      <x:c r="M49" t="str"/>
    </x:row>
    <x:row r="50">
      <x:c r="A50" t="n">
        <x:v>46217</x:v>
      </x:c>
      <x:c r="B50" t="str"/>
      <x:c r="C50" t="str"/>
      <x:c r="D50" t="str"/>
      <x:c r="E50" t="str"/>
      <x:c r="F50" t="str"/>
      <x:c r="G50" t="str"/>
      <x:c r="H50" t="str"/>
      <x:c r="I50" t="str"/>
      <x:c r="J50" t="str">
        <x:f>IF(G50="","",G50*Assumptions!$B$2)</x:f>
      </x:c>
      <x:c r="K50" t="str">
        <x:f>IF(I50="","",I50*Assumptions!$B$3)</x:f>
      </x:c>
      <x:c r="L50" t="str">
        <x:f>IF(AND(J50="",K50=""),"",SUM(J50:K50))</x:f>
      </x:c>
      <x:c r="M50" t="str"/>
    </x:row>
    <x:row r="51">
      <x:c r="A51" t="n">
        <x:v>46218</x:v>
      </x:c>
      <x:c r="B51" t="str"/>
      <x:c r="C51" t="str"/>
      <x:c r="D51" t="str"/>
      <x:c r="E51" t="str"/>
      <x:c r="F51" t="str"/>
      <x:c r="G51" t="str"/>
      <x:c r="H51" t="str"/>
      <x:c r="I51" t="str"/>
      <x:c r="J51" t="str">
        <x:f>IF(G51="","",G51*Assumptions!$B$2)</x:f>
      </x:c>
      <x:c r="K51" t="str">
        <x:f>IF(I51="","",I51*Assumptions!$B$3)</x:f>
      </x:c>
      <x:c r="L51" t="str">
        <x:f>IF(AND(J51="",K51=""),"",SUM(J51:K51))</x:f>
      </x:c>
      <x:c r="M51" t="str"/>
    </x:row>
    <x:row r="52">
      <x:c r="A52" t="n">
        <x:v>46219</x:v>
      </x:c>
      <x:c r="B52" t="str"/>
      <x:c r="C52" t="str"/>
      <x:c r="D52" t="str"/>
      <x:c r="E52" t="str"/>
      <x:c r="F52" t="str"/>
      <x:c r="G52" t="str"/>
      <x:c r="H52" t="str"/>
      <x:c r="I52" t="str"/>
      <x:c r="J52" t="str">
        <x:f>IF(G52="","",G52*Assumptions!$B$2)</x:f>
      </x:c>
      <x:c r="K52" t="str">
        <x:f>IF(I52="","",I52*Assumptions!$B$3)</x:f>
      </x:c>
      <x:c r="L52" t="str">
        <x:f>IF(AND(J52="",K52=""),"",SUM(J52:K52))</x:f>
      </x:c>
      <x:c r="M52" t="str"/>
    </x:row>
    <x:row r="53">
      <x:c r="A53" t="n">
        <x:v>46220</x:v>
      </x:c>
      <x:c r="B53" t="str"/>
      <x:c r="C53" t="str"/>
      <x:c r="D53" t="str"/>
      <x:c r="E53" t="str"/>
      <x:c r="F53" t="str"/>
      <x:c r="G53" t="str"/>
      <x:c r="H53" t="str"/>
      <x:c r="I53" t="str"/>
      <x:c r="J53" t="str">
        <x:f>IF(G53="","",G53*Assumptions!$B$2)</x:f>
      </x:c>
      <x:c r="K53" t="str">
        <x:f>IF(I53="","",I53*Assumptions!$B$3)</x:f>
      </x:c>
      <x:c r="L53" t="str">
        <x:f>IF(AND(J53="",K53=""),"",SUM(J53:K53))</x:f>
      </x:c>
      <x:c r="M53" t="str"/>
    </x:row>
    <x:row r="54">
      <x:c r="A54" t="n">
        <x:v>46221</x:v>
      </x:c>
      <x:c r="B54" t="str"/>
      <x:c r="C54" t="str"/>
      <x:c r="D54" t="str"/>
      <x:c r="E54" t="str"/>
      <x:c r="F54" t="str"/>
      <x:c r="G54" t="str"/>
      <x:c r="H54" t="str"/>
      <x:c r="I54" t="str"/>
      <x:c r="J54" t="str">
        <x:f>IF(G54="","",G54*Assumptions!$B$2)</x:f>
      </x:c>
      <x:c r="K54" t="str">
        <x:f>IF(I54="","",I54*Assumptions!$B$3)</x:f>
      </x:c>
      <x:c r="L54" t="str">
        <x:f>IF(AND(J54="",K54=""),"",SUM(J54:K54))</x:f>
      </x:c>
      <x:c r="M54" t="str"/>
    </x:row>
    <x:row r="55">
      <x:c r="A55" t="n">
        <x:v>46222</x:v>
      </x:c>
      <x:c r="B55" t="str"/>
      <x:c r="C55" t="str"/>
      <x:c r="D55" t="str"/>
      <x:c r="E55" t="str"/>
      <x:c r="F55" t="str"/>
      <x:c r="G55" t="str"/>
      <x:c r="H55" t="str"/>
      <x:c r="I55" t="str"/>
      <x:c r="J55" t="str">
        <x:f>IF(G55="","",G55*Assumptions!$B$2)</x:f>
      </x:c>
      <x:c r="K55" t="str">
        <x:f>IF(I55="","",I55*Assumptions!$B$3)</x:f>
      </x:c>
      <x:c r="L55" t="str">
        <x:f>IF(AND(J55="",K55=""),"",SUM(J55:K55))</x:f>
      </x:c>
      <x:c r="M55" t="str"/>
    </x:row>
    <x:row r="56">
      <x:c r="A56" t="n">
        <x:v>46223</x:v>
      </x:c>
      <x:c r="B56" t="str"/>
      <x:c r="C56" t="str"/>
      <x:c r="D56" t="str"/>
      <x:c r="E56" t="str"/>
      <x:c r="F56" t="str"/>
      <x:c r="G56" t="str"/>
      <x:c r="H56" t="str"/>
      <x:c r="I56" t="str"/>
      <x:c r="J56" t="str">
        <x:f>IF(G56="","",G56*Assumptions!$B$2)</x:f>
      </x:c>
      <x:c r="K56" t="str">
        <x:f>IF(I56="","",I56*Assumptions!$B$3)</x:f>
      </x:c>
      <x:c r="L56" t="str">
        <x:f>IF(AND(J56="",K56=""),"",SUM(J56:K56))</x:f>
      </x:c>
      <x:c r="M56" t="str"/>
    </x:row>
    <x:row r="57">
      <x:c r="A57" t="n">
        <x:v>46224</x:v>
      </x:c>
      <x:c r="B57" t="str"/>
      <x:c r="C57" t="str"/>
      <x:c r="D57" t="str"/>
      <x:c r="E57" t="str"/>
      <x:c r="F57" t="str"/>
      <x:c r="G57" t="str"/>
      <x:c r="H57" t="str"/>
      <x:c r="I57" t="str"/>
      <x:c r="J57" t="str">
        <x:f>IF(G57="","",G57*Assumptions!$B$2)</x:f>
      </x:c>
      <x:c r="K57" t="str">
        <x:f>IF(I57="","",I57*Assumptions!$B$3)</x:f>
      </x:c>
      <x:c r="L57" t="str">
        <x:f>IF(AND(J57="",K57=""),"",SUM(J57:K57))</x:f>
      </x:c>
      <x:c r="M57" t="str"/>
    </x:row>
    <x:row r="58">
      <x:c r="A58" t="n">
        <x:v>46225</x:v>
      </x:c>
      <x:c r="B58" t="str"/>
      <x:c r="C58" t="str"/>
      <x:c r="D58" t="str"/>
      <x:c r="E58" t="str"/>
      <x:c r="F58" t="str"/>
      <x:c r="G58" t="str"/>
      <x:c r="H58" t="str"/>
      <x:c r="I58" t="str"/>
      <x:c r="J58" t="str">
        <x:f>IF(G58="","",G58*Assumptions!$B$2)</x:f>
      </x:c>
      <x:c r="K58" t="str">
        <x:f>IF(I58="","",I58*Assumptions!$B$3)</x:f>
      </x:c>
      <x:c r="L58" t="str">
        <x:f>IF(AND(J58="",K58=""),"",SUM(J58:K58))</x:f>
      </x:c>
      <x:c r="M58" t="str"/>
    </x:row>
    <x:row r="59">
      <x:c r="A59" t="n">
        <x:v>46226</x:v>
      </x:c>
      <x:c r="B59" t="str"/>
      <x:c r="C59" t="str"/>
      <x:c r="D59" t="str"/>
      <x:c r="E59" t="str"/>
      <x:c r="F59" t="str"/>
      <x:c r="G59" t="str"/>
      <x:c r="H59" t="str"/>
      <x:c r="I59" t="str"/>
      <x:c r="J59" t="str">
        <x:f>IF(G59="","",G59*Assumptions!$B$2)</x:f>
      </x:c>
      <x:c r="K59" t="str">
        <x:f>IF(I59="","",I59*Assumptions!$B$3)</x:f>
      </x:c>
      <x:c r="L59" t="str">
        <x:f>IF(AND(J59="",K59=""),"",SUM(J59:K59))</x:f>
      </x:c>
      <x:c r="M59" t="str"/>
    </x:row>
    <x:row r="60">
      <x:c r="A60" t="n">
        <x:v>46227</x:v>
      </x:c>
      <x:c r="B60" t="str"/>
      <x:c r="C60" t="str"/>
      <x:c r="D60" t="str"/>
      <x:c r="E60" t="str"/>
      <x:c r="F60" t="str"/>
      <x:c r="G60" t="str"/>
      <x:c r="H60" t="str"/>
      <x:c r="I60" t="str"/>
      <x:c r="J60" t="str">
        <x:f>IF(G60="","",G60*Assumptions!$B$2)</x:f>
      </x:c>
      <x:c r="K60" t="str">
        <x:f>IF(I60="","",I60*Assumptions!$B$3)</x:f>
      </x:c>
      <x:c r="L60" t="str">
        <x:f>IF(AND(J60="",K60=""),"",SUM(J60:K60))</x:f>
      </x:c>
      <x:c r="M60" t="str"/>
    </x:row>
    <x:row r="61">
      <x:c r="A61" t="n">
        <x:v>46228</x:v>
      </x:c>
      <x:c r="B61" t="str"/>
      <x:c r="C61" t="str"/>
      <x:c r="D61" t="str"/>
      <x:c r="E61" t="str"/>
      <x:c r="F61" t="str"/>
      <x:c r="G61" t="str"/>
      <x:c r="H61" t="str"/>
      <x:c r="I61" t="str"/>
      <x:c r="J61" t="str">
        <x:f>IF(G61="","",G61*Assumptions!$B$2)</x:f>
      </x:c>
      <x:c r="K61" t="str">
        <x:f>IF(I61="","",I61*Assumptions!$B$3)</x:f>
      </x:c>
      <x:c r="L61" t="str">
        <x:f>IF(AND(J61="",K61=""),"",SUM(J61:K61))</x:f>
      </x:c>
      <x:c r="M61" t="str"/>
    </x:row>
    <x:row r="62">
      <x:c r="A62" t="n">
        <x:v>46229</x:v>
      </x:c>
      <x:c r="B62" t="str"/>
      <x:c r="C62" t="str"/>
      <x:c r="D62" t="str"/>
      <x:c r="E62" t="str"/>
      <x:c r="F62" t="str"/>
      <x:c r="G62" t="str"/>
      <x:c r="H62" t="str"/>
      <x:c r="I62" t="str"/>
      <x:c r="J62" t="str">
        <x:f>IF(G62="","",G62*Assumptions!$B$2)</x:f>
      </x:c>
      <x:c r="K62" t="str">
        <x:f>IF(I62="","",I62*Assumptions!$B$3)</x:f>
      </x:c>
      <x:c r="L62" t="str">
        <x:f>IF(AND(J62="",K62=""),"",SUM(J62:K62))</x:f>
      </x:c>
      <x:c r="M62" t="str"/>
    </x:row>
    <x:row r="63">
      <x:c r="A63" t="n">
        <x:v>46230</x:v>
      </x:c>
      <x:c r="B63" t="str"/>
      <x:c r="C63" t="str"/>
      <x:c r="D63" t="str"/>
      <x:c r="E63" t="str"/>
      <x:c r="F63" t="str"/>
      <x:c r="G63" t="str"/>
      <x:c r="H63" t="str"/>
      <x:c r="I63" t="str"/>
      <x:c r="J63" t="str">
        <x:f>IF(G63="","",G63*Assumptions!$B$2)</x:f>
      </x:c>
      <x:c r="K63" t="str">
        <x:f>IF(I63="","",I63*Assumptions!$B$3)</x:f>
      </x:c>
      <x:c r="L63" t="str">
        <x:f>IF(AND(J63="",K63=""),"",SUM(J63:K63))</x:f>
      </x:c>
      <x:c r="M63" t="str"/>
    </x:row>
    <x:row r="64">
      <x:c r="A64" t="n">
        <x:v>46231</x:v>
      </x:c>
      <x:c r="B64" t="str"/>
      <x:c r="C64" t="str"/>
      <x:c r="D64" t="str"/>
      <x:c r="E64" t="str"/>
      <x:c r="F64" t="str"/>
      <x:c r="G64" t="str"/>
      <x:c r="H64" t="str"/>
      <x:c r="I64" t="str"/>
      <x:c r="J64" t="str">
        <x:f>IF(G64="","",G64*Assumptions!$B$2)</x:f>
      </x:c>
      <x:c r="K64" t="str">
        <x:f>IF(I64="","",I64*Assumptions!$B$3)</x:f>
      </x:c>
      <x:c r="L64" t="str">
        <x:f>IF(AND(J64="",K64=""),"",SUM(J64:K64))</x:f>
      </x:c>
      <x:c r="M64" t="str"/>
    </x:row>
    <x:row r="65">
      <x:c r="A65" t="n">
        <x:v>46232</x:v>
      </x:c>
      <x:c r="B65" t="str"/>
      <x:c r="C65" t="str"/>
      <x:c r="D65" t="str"/>
      <x:c r="E65" t="str"/>
      <x:c r="F65" t="str"/>
      <x:c r="G65" t="str"/>
      <x:c r="H65" t="str"/>
      <x:c r="I65" t="str"/>
      <x:c r="J65" t="str">
        <x:f>IF(G65="","",G65*Assumptions!$B$2)</x:f>
      </x:c>
      <x:c r="K65" t="str">
        <x:f>IF(I65="","",I65*Assumptions!$B$3)</x:f>
      </x:c>
      <x:c r="L65" t="str">
        <x:f>IF(AND(J65="",K65=""),"",SUM(J65:K65))</x:f>
      </x:c>
      <x:c r="M65" t="str"/>
    </x:row>
    <x:row r="66">
      <x:c r="A66" t="n">
        <x:v>46233</x:v>
      </x:c>
      <x:c r="B66" t="str"/>
      <x:c r="C66" t="str"/>
      <x:c r="D66" t="str"/>
      <x:c r="E66" t="str"/>
      <x:c r="F66" t="str"/>
      <x:c r="G66" t="str"/>
      <x:c r="H66" t="str"/>
      <x:c r="I66" t="str"/>
      <x:c r="J66" t="str">
        <x:f>IF(G66="","",G66*Assumptions!$B$2)</x:f>
      </x:c>
      <x:c r="K66" t="str">
        <x:f>IF(I66="","",I66*Assumptions!$B$3)</x:f>
      </x:c>
      <x:c r="L66" t="str">
        <x:f>IF(AND(J66="",K66=""),"",SUM(J66:K66))</x:f>
      </x:c>
      <x:c r="M66" t="str"/>
    </x:row>
    <x:row r="67">
      <x:c r="A67" t="n">
        <x:v>46234</x:v>
      </x:c>
      <x:c r="B67" t="str"/>
      <x:c r="C67" t="str"/>
      <x:c r="D67" t="str"/>
      <x:c r="E67" t="str"/>
      <x:c r="F67" t="str"/>
      <x:c r="G67" t="str"/>
      <x:c r="H67" t="str"/>
      <x:c r="I67" t="str"/>
      <x:c r="J67" t="str">
        <x:f>IF(G67="","",G67*Assumptions!$B$2)</x:f>
      </x:c>
      <x:c r="K67" t="str">
        <x:f>IF(I67="","",I67*Assumptions!$B$3)</x:f>
      </x:c>
      <x:c r="L67" t="str">
        <x:f>IF(AND(J67="",K67=""),"",SUM(J67:K67))</x:f>
      </x:c>
      <x:c r="M67" t="str"/>
    </x:row>
    <x:row r="68">
      <x:c r="A68" t="n">
        <x:v>46235</x:v>
      </x:c>
      <x:c r="B68" t="str"/>
      <x:c r="C68" t="str"/>
      <x:c r="D68" t="str"/>
      <x:c r="E68" t="str"/>
      <x:c r="F68" t="str"/>
      <x:c r="G68" t="str"/>
      <x:c r="H68" t="str"/>
      <x:c r="I68" t="str"/>
      <x:c r="J68" t="str">
        <x:f>IF(G68="","",G68*Assumptions!$B$2)</x:f>
      </x:c>
      <x:c r="K68" t="str">
        <x:f>IF(I68="","",I68*Assumptions!$B$3)</x:f>
      </x:c>
      <x:c r="L68" t="str">
        <x:f>IF(AND(J68="",K68=""),"",SUM(J68:K68))</x:f>
      </x:c>
      <x:c r="M68" t="str"/>
    </x:row>
    <x:row r="69">
      <x:c r="A69" t="n">
        <x:v>46236</x:v>
      </x:c>
      <x:c r="B69" t="str"/>
      <x:c r="C69" t="str"/>
      <x:c r="D69" t="str"/>
      <x:c r="E69" t="str"/>
      <x:c r="F69" t="str"/>
      <x:c r="G69" t="str"/>
      <x:c r="H69" t="str"/>
      <x:c r="I69" t="str"/>
      <x:c r="J69" t="str">
        <x:f>IF(G69="","",G69*Assumptions!$B$2)</x:f>
      </x:c>
      <x:c r="K69" t="str">
        <x:f>IF(I69="","",I69*Assumptions!$B$3)</x:f>
      </x:c>
      <x:c r="L69" t="str">
        <x:f>IF(AND(J69="",K69=""),"",SUM(J69:K69))</x:f>
      </x:c>
      <x:c r="M69" t="str"/>
    </x:row>
    <x:row r="70">
      <x:c r="A70" t="n">
        <x:v>46237</x:v>
      </x:c>
      <x:c r="B70" t="str"/>
      <x:c r="C70" t="str"/>
      <x:c r="D70" t="str"/>
      <x:c r="E70" t="str"/>
      <x:c r="F70" t="str"/>
      <x:c r="G70" t="str"/>
      <x:c r="H70" t="str"/>
      <x:c r="I70" t="str"/>
      <x:c r="J70" t="str">
        <x:f>IF(G70="","",G70*Assumptions!$B$2)</x:f>
      </x:c>
      <x:c r="K70" t="str">
        <x:f>IF(I70="","",I70*Assumptions!$B$3)</x:f>
      </x:c>
      <x:c r="L70" t="str">
        <x:f>IF(AND(J70="",K70=""),"",SUM(J70:K70))</x:f>
      </x:c>
      <x:c r="M70" t="str"/>
    </x:row>
    <x:row r="71">
      <x:c r="A71" t="n">
        <x:v>46238</x:v>
      </x:c>
      <x:c r="B71" t="str"/>
      <x:c r="C71" t="str"/>
      <x:c r="D71" t="str"/>
      <x:c r="E71" t="str"/>
      <x:c r="F71" t="str"/>
      <x:c r="G71" t="str"/>
      <x:c r="H71" t="str"/>
      <x:c r="I71" t="str"/>
      <x:c r="J71" t="str">
        <x:f>IF(G71="","",G71*Assumptions!$B$2)</x:f>
      </x:c>
      <x:c r="K71" t="str">
        <x:f>IF(I71="","",I71*Assumptions!$B$3)</x:f>
      </x:c>
      <x:c r="L71" t="str">
        <x:f>IF(AND(J71="",K71=""),"",SUM(J71:K71))</x:f>
      </x:c>
      <x:c r="M71" t="str"/>
    </x:row>
    <x:row r="72">
      <x:c r="A72" t="n">
        <x:v>46239</x:v>
      </x:c>
      <x:c r="B72" t="str"/>
      <x:c r="C72" t="str"/>
      <x:c r="D72" t="str"/>
      <x:c r="E72" t="str"/>
      <x:c r="F72" t="str"/>
      <x:c r="G72" t="str"/>
      <x:c r="H72" t="str"/>
      <x:c r="I72" t="str"/>
      <x:c r="J72" t="str">
        <x:f>IF(G72="","",G72*Assumptions!$B$2)</x:f>
      </x:c>
      <x:c r="K72" t="str">
        <x:f>IF(I72="","",I72*Assumptions!$B$3)</x:f>
      </x:c>
      <x:c r="L72" t="str">
        <x:f>IF(AND(J72="",K72=""),"",SUM(J72:K72))</x:f>
      </x:c>
      <x:c r="M72" t="str"/>
    </x:row>
    <x:row r="73">
      <x:c r="A73" t="n">
        <x:v>46240</x:v>
      </x:c>
      <x:c r="B73" t="str"/>
      <x:c r="C73" t="str"/>
      <x:c r="D73" t="str"/>
      <x:c r="E73" t="str"/>
      <x:c r="F73" t="str"/>
      <x:c r="G73" t="str"/>
      <x:c r="H73" t="str"/>
      <x:c r="I73" t="str"/>
      <x:c r="J73" t="str">
        <x:f>IF(G73="","",G73*Assumptions!$B$2)</x:f>
      </x:c>
      <x:c r="K73" t="str">
        <x:f>IF(I73="","",I73*Assumptions!$B$3)</x:f>
      </x:c>
      <x:c r="L73" t="str">
        <x:f>IF(AND(J73="",K73=""),"",SUM(J73:K73))</x:f>
      </x:c>
      <x:c r="M73" t="str"/>
    </x:row>
    <x:row r="74">
      <x:c r="A74" t="n">
        <x:v>46241</x:v>
      </x:c>
      <x:c r="B74" t="str"/>
      <x:c r="C74" t="str"/>
      <x:c r="D74" t="str"/>
      <x:c r="E74" t="str"/>
      <x:c r="F74" t="str"/>
      <x:c r="G74" t="str"/>
      <x:c r="H74" t="str"/>
      <x:c r="I74" t="str"/>
      <x:c r="J74" t="str">
        <x:f>IF(G74="","",G74*Assumptions!$B$2)</x:f>
      </x:c>
      <x:c r="K74" t="str">
        <x:f>IF(I74="","",I74*Assumptions!$B$3)</x:f>
      </x:c>
      <x:c r="L74" t="str">
        <x:f>IF(AND(J74="",K74=""),"",SUM(J74:K74))</x:f>
      </x:c>
      <x:c r="M74" t="str"/>
    </x:row>
    <x:row r="75">
      <x:c r="A75" t="n">
        <x:v>46242</x:v>
      </x:c>
      <x:c r="B75" t="str"/>
      <x:c r="C75" t="str"/>
      <x:c r="D75" t="str"/>
      <x:c r="E75" t="str"/>
      <x:c r="F75" t="str"/>
      <x:c r="G75" t="str"/>
      <x:c r="H75" t="str"/>
      <x:c r="I75" t="str"/>
      <x:c r="J75" t="str">
        <x:f>IF(G75="","",G75*Assumptions!$B$2)</x:f>
      </x:c>
      <x:c r="K75" t="str">
        <x:f>IF(I75="","",I75*Assumptions!$B$3)</x:f>
      </x:c>
      <x:c r="L75" t="str">
        <x:f>IF(AND(J75="",K75=""),"",SUM(J75:K75))</x:f>
      </x:c>
      <x:c r="M75" t="str"/>
    </x:row>
    <x:row r="76">
      <x:c r="A76" t="n">
        <x:v>46243</x:v>
      </x:c>
      <x:c r="B76" t="str"/>
      <x:c r="C76" t="str"/>
      <x:c r="D76" t="str"/>
      <x:c r="E76" t="str"/>
      <x:c r="F76" t="str"/>
      <x:c r="G76" t="str"/>
      <x:c r="H76" t="str"/>
      <x:c r="I76" t="str"/>
      <x:c r="J76" t="str">
        <x:f>IF(G76="","",G76*Assumptions!$B$2)</x:f>
      </x:c>
      <x:c r="K76" t="str">
        <x:f>IF(I76="","",I76*Assumptions!$B$3)</x:f>
      </x:c>
      <x:c r="L76" t="str">
        <x:f>IF(AND(J76="",K76=""),"",SUM(J76:K76))</x:f>
      </x:c>
      <x:c r="M76" t="str"/>
    </x:row>
    <x:row r="77">
      <x:c r="A77" t="n">
        <x:v>46244</x:v>
      </x:c>
      <x:c r="B77" t="str"/>
      <x:c r="C77" t="str"/>
      <x:c r="D77" t="str"/>
      <x:c r="E77" t="str"/>
      <x:c r="F77" t="str"/>
      <x:c r="G77" t="str"/>
      <x:c r="H77" t="str"/>
      <x:c r="I77" t="str"/>
      <x:c r="J77" t="str">
        <x:f>IF(G77="","",G77*Assumptions!$B$2)</x:f>
      </x:c>
      <x:c r="K77" t="str">
        <x:f>IF(I77="","",I77*Assumptions!$B$3)</x:f>
      </x:c>
      <x:c r="L77" t="str">
        <x:f>IF(AND(J77="",K77=""),"",SUM(J77:K77))</x:f>
      </x:c>
      <x:c r="M77" t="str"/>
    </x:row>
    <x:row r="78">
      <x:c r="A78" t="n">
        <x:v>46245</x:v>
      </x:c>
      <x:c r="B78" t="str"/>
      <x:c r="C78" t="str"/>
      <x:c r="D78" t="str"/>
      <x:c r="E78" t="str"/>
      <x:c r="F78" t="str"/>
      <x:c r="G78" t="str"/>
      <x:c r="H78" t="str"/>
      <x:c r="I78" t="str"/>
      <x:c r="J78" t="str">
        <x:f>IF(G78="","",G78*Assumptions!$B$2)</x:f>
      </x:c>
      <x:c r="K78" t="str">
        <x:f>IF(I78="","",I78*Assumptions!$B$3)</x:f>
      </x:c>
      <x:c r="L78" t="str">
        <x:f>IF(AND(J78="",K78=""),"",SUM(J78:K78))</x:f>
      </x:c>
      <x:c r="M78" t="str"/>
    </x:row>
    <x:row r="79">
      <x:c r="A79" t="n">
        <x:v>46246</x:v>
      </x:c>
      <x:c r="B79" t="str"/>
      <x:c r="C79" t="str"/>
      <x:c r="D79" t="str"/>
      <x:c r="E79" t="str"/>
      <x:c r="F79" t="str"/>
      <x:c r="G79" t="str"/>
      <x:c r="H79" t="str"/>
      <x:c r="I79" t="str"/>
      <x:c r="J79" t="str">
        <x:f>IF(G79="","",G79*Assumptions!$B$2)</x:f>
      </x:c>
      <x:c r="K79" t="str">
        <x:f>IF(I79="","",I79*Assumptions!$B$3)</x:f>
      </x:c>
      <x:c r="L79" t="str">
        <x:f>IF(AND(J79="",K79=""),"",SUM(J79:K79))</x:f>
      </x:c>
      <x:c r="M79" t="str"/>
    </x:row>
    <x:row r="80">
      <x:c r="A80" t="n">
        <x:v>46247</x:v>
      </x:c>
      <x:c r="B80" t="str"/>
      <x:c r="C80" t="str"/>
      <x:c r="D80" t="str"/>
      <x:c r="E80" t="str"/>
      <x:c r="F80" t="str"/>
      <x:c r="G80" t="str"/>
      <x:c r="H80" t="str"/>
      <x:c r="I80" t="str"/>
      <x:c r="J80" t="str">
        <x:f>IF(G80="","",G80*Assumptions!$B$2)</x:f>
      </x:c>
      <x:c r="K80" t="str">
        <x:f>IF(I80="","",I80*Assumptions!$B$3)</x:f>
      </x:c>
      <x:c r="L80" t="str">
        <x:f>IF(AND(J80="",K80=""),"",SUM(J80:K80))</x:f>
      </x:c>
      <x:c r="M80" t="str"/>
    </x:row>
    <x:row r="81">
      <x:c r="A81" t="n">
        <x:v>46248</x:v>
      </x:c>
      <x:c r="B81" t="str"/>
      <x:c r="C81" t="str"/>
      <x:c r="D81" t="str"/>
      <x:c r="E81" t="str"/>
      <x:c r="F81" t="str"/>
      <x:c r="G81" t="str"/>
      <x:c r="H81" t="str"/>
      <x:c r="I81" t="str"/>
      <x:c r="J81" t="str">
        <x:f>IF(G81="","",G81*Assumptions!$B$2)</x:f>
      </x:c>
      <x:c r="K81" t="str">
        <x:f>IF(I81="","",I81*Assumptions!$B$3)</x:f>
      </x:c>
      <x:c r="L81" t="str">
        <x:f>IF(AND(J81="",K81=""),"",SUM(J81:K81))</x:f>
      </x:c>
      <x:c r="M81" t="str"/>
    </x:row>
    <x:row r="82">
      <x:c r="A82" t="n">
        <x:v>46249</x:v>
      </x:c>
      <x:c r="B82" t="str"/>
      <x:c r="C82" t="str"/>
      <x:c r="D82" t="str"/>
      <x:c r="E82" t="str"/>
      <x:c r="F82" t="str"/>
      <x:c r="G82" t="str"/>
      <x:c r="H82" t="str"/>
      <x:c r="I82" t="str"/>
      <x:c r="J82" t="str">
        <x:f>IF(G82="","",G82*Assumptions!$B$2)</x:f>
      </x:c>
      <x:c r="K82" t="str">
        <x:f>IF(I82="","",I82*Assumptions!$B$3)</x:f>
      </x:c>
      <x:c r="L82" t="str">
        <x:f>IF(AND(J82="",K82=""),"",SUM(J82:K82))</x:f>
      </x:c>
      <x:c r="M82" t="str"/>
    </x:row>
    <x:row r="83">
      <x:c r="A83" t="n">
        <x:v>46250</x:v>
      </x:c>
      <x:c r="B83" t="str"/>
      <x:c r="C83" t="str"/>
      <x:c r="D83" t="str"/>
      <x:c r="E83" t="str"/>
      <x:c r="F83" t="str"/>
      <x:c r="G83" t="str"/>
      <x:c r="H83" t="str"/>
      <x:c r="I83" t="str"/>
      <x:c r="J83" t="str">
        <x:f>IF(G83="","",G83*Assumptions!$B$2)</x:f>
      </x:c>
      <x:c r="K83" t="str">
        <x:f>IF(I83="","",I83*Assumptions!$B$3)</x:f>
      </x:c>
      <x:c r="L83" t="str">
        <x:f>IF(AND(J83="",K83=""),"",SUM(J83:K83))</x:f>
      </x:c>
      <x:c r="M83" t="str"/>
    </x:row>
    <x:row r="84">
      <x:c r="A84" t="n">
        <x:v>46251</x:v>
      </x:c>
      <x:c r="B84" t="str"/>
      <x:c r="C84" t="str"/>
      <x:c r="D84" t="str"/>
      <x:c r="E84" t="str"/>
      <x:c r="F84" t="str"/>
      <x:c r="G84" t="str"/>
      <x:c r="H84" t="str"/>
      <x:c r="I84" t="str"/>
      <x:c r="J84" t="str">
        <x:f>IF(G84="","",G84*Assumptions!$B$2)</x:f>
      </x:c>
      <x:c r="K84" t="str">
        <x:f>IF(I84="","",I84*Assumptions!$B$3)</x:f>
      </x:c>
      <x:c r="L84" t="str">
        <x:f>IF(AND(J84="",K84=""),"",SUM(J84:K84))</x:f>
      </x:c>
      <x:c r="M84" t="str"/>
    </x:row>
    <x:row r="85">
      <x:c r="A85" t="n">
        <x:v>46252</x:v>
      </x:c>
      <x:c r="B85" t="str"/>
      <x:c r="C85" t="str"/>
      <x:c r="D85" t="str"/>
      <x:c r="E85" t="str"/>
      <x:c r="F85" t="str"/>
      <x:c r="G85" t="str"/>
      <x:c r="H85" t="str"/>
      <x:c r="I85" t="str"/>
      <x:c r="J85" t="str">
        <x:f>IF(G85="","",G85*Assumptions!$B$2)</x:f>
      </x:c>
      <x:c r="K85" t="str">
        <x:f>IF(I85="","",I85*Assumptions!$B$3)</x:f>
      </x:c>
      <x:c r="L85" t="str">
        <x:f>IF(AND(J85="",K85=""),"",SUM(J85:K85))</x:f>
      </x:c>
      <x:c r="M85" t="str"/>
    </x:row>
    <x:row r="86">
      <x:c r="A86" t="n">
        <x:v>46253</x:v>
      </x:c>
      <x:c r="B86" t="str"/>
      <x:c r="C86" t="str"/>
      <x:c r="D86" t="str"/>
      <x:c r="E86" t="str"/>
      <x:c r="F86" t="str"/>
      <x:c r="G86" t="str"/>
      <x:c r="H86" t="str"/>
      <x:c r="I86" t="str"/>
      <x:c r="J86" t="str">
        <x:f>IF(G86="","",G86*Assumptions!$B$2)</x:f>
      </x:c>
      <x:c r="K86" t="str">
        <x:f>IF(I86="","",I86*Assumptions!$B$3)</x:f>
      </x:c>
      <x:c r="L86" t="str">
        <x:f>IF(AND(J86="",K86=""),"",SUM(J86:K86))</x:f>
      </x:c>
      <x:c r="M86" t="str"/>
    </x:row>
    <x:row r="87">
      <x:c r="A87" t="n">
        <x:v>46254</x:v>
      </x:c>
      <x:c r="B87" t="str"/>
      <x:c r="C87" t="str"/>
      <x:c r="D87" t="str"/>
      <x:c r="E87" t="str"/>
      <x:c r="F87" t="str"/>
      <x:c r="G87" t="str"/>
      <x:c r="H87" t="str"/>
      <x:c r="I87" t="str"/>
      <x:c r="J87" t="str">
        <x:f>IF(G87="","",G87*Assumptions!$B$2)</x:f>
      </x:c>
      <x:c r="K87" t="str">
        <x:f>IF(I87="","",I87*Assumptions!$B$3)</x:f>
      </x:c>
      <x:c r="L87" t="str">
        <x:f>IF(AND(J87="",K87=""),"",SUM(J87:K87))</x:f>
      </x:c>
      <x:c r="M87" t="str"/>
    </x:row>
    <x:row r="88">
      <x:c r="A88" t="n">
        <x:v>46255</x:v>
      </x:c>
      <x:c r="B88" t="str"/>
      <x:c r="C88" t="str"/>
      <x:c r="D88" t="str"/>
      <x:c r="E88" t="str"/>
      <x:c r="F88" t="str"/>
      <x:c r="G88" t="str"/>
      <x:c r="H88" t="str"/>
      <x:c r="I88" t="str"/>
      <x:c r="J88" t="str">
        <x:f>IF(G88="","",G88*Assumptions!$B$2)</x:f>
      </x:c>
      <x:c r="K88" t="str">
        <x:f>IF(I88="","",I88*Assumptions!$B$3)</x:f>
      </x:c>
      <x:c r="L88" t="str">
        <x:f>IF(AND(J88="",K88=""),"",SUM(J88:K88))</x:f>
      </x:c>
      <x:c r="M88" t="str"/>
    </x:row>
    <x:row r="89">
      <x:c r="A89" t="n">
        <x:v>46256</x:v>
      </x:c>
      <x:c r="B89" t="str"/>
      <x:c r="C89" t="str"/>
      <x:c r="D89" t="str"/>
      <x:c r="E89" t="str"/>
      <x:c r="F89" t="str"/>
      <x:c r="G89" t="str"/>
      <x:c r="H89" t="str"/>
      <x:c r="I89" t="str"/>
      <x:c r="J89" t="str">
        <x:f>IF(G89="","",G89*Assumptions!$B$2)</x:f>
      </x:c>
      <x:c r="K89" t="str">
        <x:f>IF(I89="","",I89*Assumptions!$B$3)</x:f>
      </x:c>
      <x:c r="L89" t="str">
        <x:f>IF(AND(J89="",K89=""),"",SUM(J89:K89))</x:f>
      </x:c>
      <x:c r="M89" t="str"/>
    </x:row>
    <x:row r="90">
      <x:c r="A90" t="n">
        <x:v>46257</x:v>
      </x:c>
      <x:c r="B90" t="str"/>
      <x:c r="C90" t="str"/>
      <x:c r="D90" t="str"/>
      <x:c r="E90" t="str"/>
      <x:c r="F90" t="str"/>
      <x:c r="G90" t="str"/>
      <x:c r="H90" t="str"/>
      <x:c r="I90" t="str"/>
      <x:c r="J90" t="str">
        <x:f>IF(G90="","",G90*Assumptions!$B$2)</x:f>
      </x:c>
      <x:c r="K90" t="str">
        <x:f>IF(I90="","",I90*Assumptions!$B$3)</x:f>
      </x:c>
      <x:c r="L90" t="str">
        <x:f>IF(AND(J90="",K90=""),"",SUM(J90:K90))</x:f>
      </x:c>
      <x:c r="M90" t="str"/>
    </x:row>
    <x:row r="91">
      <x:c r="A91" t="n">
        <x:v>46258</x:v>
      </x:c>
      <x:c r="B91" t="str"/>
      <x:c r="C91" t="str"/>
      <x:c r="D91" t="str"/>
      <x:c r="E91" t="str"/>
      <x:c r="F91" t="str"/>
      <x:c r="G91" t="str"/>
      <x:c r="H91" t="str"/>
      <x:c r="I91" t="str"/>
      <x:c r="J91" t="str">
        <x:f>IF(G91="","",G91*Assumptions!$B$2)</x:f>
      </x:c>
      <x:c r="K91" t="str">
        <x:f>IF(I91="","",I91*Assumptions!$B$3)</x:f>
      </x:c>
      <x:c r="L91" t="str">
        <x:f>IF(AND(J91="",K91=""),"",SUM(J91:K91))</x:f>
      </x:c>
      <x:c r="M9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28.889999389648438" hidden="0" customWidth="1"/>
  </x:cols>
  <x:sheetData>
    <x:row r="1">
      <x:c r="A1" s="1" t="str">
        <x:v>Metric</x:v>
      </x:c>
      <x:c r="B1" s="1" t="str">
        <x:v>Value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Codex reward per sale</x:v>
      </x:c>
      <x:c r="B2" t="n">
        <x:v>2490</x:v>
      </x:c>
    </x:row>
    <x:row r="3">
      <x:c r="A3" t="str">
        <x:v>Meikyo reward per sale</x:v>
      </x:c>
      <x:c r="B3" t="n">
        <x:v>14900</x:v>
      </x:c>
    </x:row>
    <x:row r="4">
      <x:c r="A4" t="str">
        <x:v>Target monthly revenue</x:v>
      </x:c>
      <x:c r="B4" t="n">
        <x:v>1000000</x:v>
      </x:c>
    </x:row>
    <x:row r="5">
      <x:c r="A5" t="str">
        <x:v>Target LINE registrations</x:v>
      </x:c>
      <x:c r="B5" t="n">
        <x:v>1500</x:v>
      </x:c>
    </x:row>
    <x:row r="6">
      <x:c r="A6" t="str">
        <x:v>Target Codex sales</x:v>
      </x:c>
      <x:c r="B6" t="n">
        <x:v>100</x:v>
      </x:c>
    </x:row>
    <x:row r="7">
      <x:c r="A7" t="str">
        <x:v>Target Meikyo sales</x:v>
      </x:c>
      <x:c r="B7" t="n">
        <x:v>50</x:v>
      </x:c>
    </x:row>
    <x:row r="8">
      <x:c r="A8" t="str">
        <x:v>Front product URL</x:v>
      </x:c>
      <x:c r="B8" t="str">
        <x:v>[CODEX_BRAIN_AFFILIATE_URL]</x:v>
      </x:c>
    </x:row>
    <x:row r="9">
      <x:c r="A9" t="str">
        <x:v>Backend product URL</x:v>
      </x:c>
      <x:c r="B9" t="str">
        <x:v>[MEIKYO_BRAIN_AFFILIATE_URL]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13.329999923706055" hidden="0" customWidth="1"/>
    <x:col min="3" max="3" width="35.560001373291016" hidden="0" customWidth="1"/>
  </x:cols>
  <x:sheetData>
    <x:row r="1">
      <x:c r="A1" s="1" t="str">
        <x:v>Item</x:v>
      </x:c>
      <x:c r="B1" s="1" t="str">
        <x:v>Status</x:v>
      </x:c>
      <x:c r="C1" s="1" t="str">
        <x:v>Notes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LINE opt-in URL inserted</x:v>
      </x:c>
      <x:c r="B2" t="str">
        <x:v>TODO</x:v>
      </x:c>
      <x:c r="C2" t="str">
        <x:v>[LINE_OPTIN_URL]</x:v>
      </x:c>
    </x:row>
    <x:row r="3">
      <x:c r="A3" t="str">
        <x:v>Codex affiliate URL inserted</x:v>
      </x:c>
      <x:c r="B3" t="str">
        <x:v>TODO</x:v>
      </x:c>
      <x:c r="C3" t="str">
        <x:v>[CODEX_BRAIN_AFFILIATE_URL]</x:v>
      </x:c>
    </x:row>
    <x:row r="4">
      <x:c r="A4" t="str">
        <x:v>Meikyo affiliate URL inserted</x:v>
      </x:c>
      <x:c r="B4" t="str">
        <x:v>TODO</x:v>
      </x:c>
      <x:c r="C4" t="str">
        <x:v>[MEIKYO_BRAIN_AFFILIATE_URL]</x:v>
      </x:c>
    </x:row>
    <x:row r="5">
      <x:c r="A5" t="str">
        <x:v>Disclosure text inserted</x:v>
      </x:c>
      <x:c r="B5" t="str">
        <x:v>TODO</x:v>
      </x:c>
      <x:c r="C5" t="str">
        <x:v>[DISCLOSURE_TEXT]</x:v>
      </x:c>
    </x:row>
    <x:row r="6">
      <x:c r="A6" t="str">
        <x:v>X profile updated</x:v>
      </x:c>
      <x:c r="B6" t="str">
        <x:v>TODO</x:v>
      </x:c>
      <x:c r="C6" t="str"/>
    </x:row>
    <x:row r="7">
      <x:c r="A7" t="str">
        <x:v>Pinned post published</x:v>
      </x:c>
      <x:c r="B7" t="str">
        <x:v>TODO</x:v>
      </x:c>
      <x:c r="C7" t="str"/>
    </x:row>
    <x:row r="8">
      <x:c r="A8" t="str">
        <x:v>Lead magnet uploaded</x:v>
      </x:c>
      <x:c r="B8" t="str">
        <x:v>TODO</x:v>
      </x:c>
      <x:c r="C8" t="str"/>
    </x:row>
    <x:row r="9">
      <x:c r="A9" t="str">
        <x:v>LINE sequence registered</x:v>
      </x:c>
      <x:c r="B9" t="str">
        <x:v>TODO</x:v>
      </x:c>
      <x:c r="C9" t="str"/>
    </x:row>
    <x:row r="10">
      <x:c r="A10" t="str">
        <x:v>Codex review published</x:v>
      </x:c>
      <x:c r="B10" t="str">
        <x:v>TODO</x:v>
      </x:c>
      <x:c r="C10" t="str"/>
    </x:row>
    <x:row r="11">
      <x:c r="A11" t="str">
        <x:v>Meikyo review published</x:v>
      </x:c>
      <x:c r="B11" t="str">
        <x:v>TODO</x:v>
      </x:c>
      <x:c r="C11" t="str"/>
    </x:row>
    <x:row r="12">
      <x:c r="A12" t="str">
        <x:v>Bridge articles published</x:v>
      </x:c>
      <x:c r="B12" t="str">
        <x:v>TODO</x:v>
      </x:c>
      <x:c r="C12" t="str"/>
    </x:row>
    <x:row r="13">
      <x:c r="A13" t="str">
        <x:v>100 X posts queued</x:v>
      </x:c>
      <x:c r="B13" t="str">
        <x:v>TODO</x:v>
      </x:c>
      <x:c r="C13" t="str"/>
    </x:row>
    <x:row r="14">
      <x:c r="A14" t="str">
        <x:v>Compliance review complete</x:v>
      </x:c>
      <x:c r="B14" t="str">
        <x:v>TODO</x:v>
      </x:c>
      <x:c r="C14" t="str"/>
    </x:row>
  </x:sheetData>
  <x:pageMargins left="0.7" right="0.7" top="0.75" bottom="0.75" header="0.3" footer="0.3"/>
</x:worksheet>
</file>